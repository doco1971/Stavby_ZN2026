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FB688E5-1022-413E-8800-39607299911B}" xr6:coauthVersionLast="47" xr6:coauthVersionMax="47" xr10:uidLastSave="{00000000-0000-0000-0000-000000000000}"/>
  <bookViews>
    <workbookView xWindow="-28920" yWindow="-120" windowWidth="29040" windowHeight="15720" xr2:uid="{A50F35D0-5BA7-450A-8751-1DC5D49A2D4C}"/>
  </bookViews>
  <sheets>
    <sheet name="List1" sheetId="1" r:id="rId1"/>
  </sheets>
  <definedNames>
    <definedName name="_xlnm._FilterDatabase" localSheetId="0" hidden="1">List1!$B$5:$W$33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M3" i="1"/>
  <c r="L3" i="1"/>
  <c r="R3" i="1" s="1"/>
  <c r="K3" i="1"/>
  <c r="P3" i="1" l="1"/>
  <c r="M33" i="1"/>
  <c r="K33" i="1"/>
  <c r="T33" i="1" s="1"/>
  <c r="M32" i="1"/>
  <c r="K32" i="1"/>
  <c r="T32" i="1" s="1"/>
  <c r="M31" i="1"/>
  <c r="K31" i="1"/>
  <c r="M30" i="1"/>
  <c r="K30" i="1"/>
  <c r="T30" i="1" s="1"/>
  <c r="M29" i="1"/>
  <c r="K29" i="1"/>
  <c r="T29" i="1" s="1"/>
  <c r="M28" i="1"/>
  <c r="K28" i="1"/>
  <c r="T28" i="1" s="1"/>
  <c r="M27" i="1"/>
  <c r="K27" i="1"/>
  <c r="T27" i="1" s="1"/>
  <c r="M26" i="1"/>
  <c r="K26" i="1"/>
  <c r="M25" i="1"/>
  <c r="K25" i="1"/>
  <c r="T25" i="1" s="1"/>
  <c r="M24" i="1"/>
  <c r="K24" i="1"/>
  <c r="T24" i="1" s="1"/>
  <c r="M23" i="1"/>
  <c r="K23" i="1"/>
  <c r="M22" i="1"/>
  <c r="K22" i="1"/>
  <c r="T22" i="1" s="1"/>
  <c r="M21" i="1"/>
  <c r="K21" i="1"/>
  <c r="T21" i="1" s="1"/>
  <c r="M20" i="1"/>
  <c r="K20" i="1"/>
  <c r="T20" i="1" s="1"/>
  <c r="M19" i="1"/>
  <c r="K19" i="1"/>
  <c r="T19" i="1" s="1"/>
  <c r="M18" i="1"/>
  <c r="K18" i="1"/>
  <c r="T18" i="1" s="1"/>
  <c r="M17" i="1"/>
  <c r="K17" i="1"/>
  <c r="T17" i="1" s="1"/>
  <c r="M16" i="1"/>
  <c r="K16" i="1"/>
  <c r="T16" i="1" s="1"/>
  <c r="M15" i="1"/>
  <c r="K15" i="1"/>
  <c r="T15" i="1" s="1"/>
  <c r="M14" i="1"/>
  <c r="K14" i="1"/>
  <c r="T14" i="1" s="1"/>
  <c r="M13" i="1"/>
  <c r="K13" i="1"/>
  <c r="T13" i="1" s="1"/>
  <c r="M12" i="1"/>
  <c r="K12" i="1"/>
  <c r="T12" i="1" s="1"/>
  <c r="M11" i="1"/>
  <c r="K11" i="1"/>
  <c r="M10" i="1"/>
  <c r="K10" i="1"/>
  <c r="T10" i="1" s="1"/>
  <c r="M9" i="1"/>
  <c r="K9" i="1"/>
  <c r="T9" i="1" s="1"/>
  <c r="M8" i="1"/>
  <c r="K8" i="1"/>
  <c r="T8" i="1" s="1"/>
  <c r="M7" i="1"/>
  <c r="K7" i="1"/>
  <c r="T7" i="1" s="1"/>
  <c r="M6" i="1"/>
  <c r="K6" i="1"/>
  <c r="T6" i="1" s="1"/>
  <c r="H1" i="1"/>
  <c r="G1" i="1"/>
  <c r="F1" i="1"/>
  <c r="E1" i="1"/>
  <c r="D1" i="1"/>
  <c r="C1" i="1"/>
  <c r="L11" i="1" l="1"/>
  <c r="L23" i="1"/>
  <c r="L7" i="1"/>
  <c r="L19" i="1"/>
  <c r="L21" i="1"/>
  <c r="L31" i="1"/>
  <c r="L13" i="1"/>
  <c r="T23" i="1"/>
  <c r="L27" i="1"/>
  <c r="L17" i="1"/>
  <c r="L25" i="1"/>
  <c r="L9" i="1"/>
  <c r="T11" i="1"/>
  <c r="L32" i="1"/>
  <c r="L15" i="1"/>
  <c r="L26" i="1"/>
  <c r="L29" i="1"/>
  <c r="L28" i="1"/>
  <c r="L33" i="1"/>
  <c r="L6" i="1"/>
  <c r="L8" i="1"/>
  <c r="L10" i="1"/>
  <c r="L12" i="1"/>
  <c r="L14" i="1"/>
  <c r="L16" i="1"/>
  <c r="L18" i="1"/>
  <c r="L20" i="1"/>
  <c r="L22" i="1"/>
  <c r="L24" i="1"/>
  <c r="T26" i="1"/>
  <c r="T31" i="1"/>
  <c r="L30" i="1"/>
</calcChain>
</file>

<file path=xl/sharedStrings.xml><?xml version="1.0" encoding="utf-8"?>
<sst xmlns="http://schemas.openxmlformats.org/spreadsheetml/2006/main" count="77" uniqueCount="51">
  <si>
    <t>kategorie I</t>
  </si>
  <si>
    <t>kategorie II</t>
  </si>
  <si>
    <t>firma</t>
  </si>
  <si>
    <t>poř.č.</t>
  </si>
  <si>
    <t>PS</t>
  </si>
  <si>
    <t>SNK</t>
  </si>
  <si>
    <t>BO</t>
  </si>
  <si>
    <t>poruchy</t>
  </si>
  <si>
    <t>č.stavby</t>
  </si>
  <si>
    <t>název stavby</t>
  </si>
  <si>
    <t>nabídka</t>
  </si>
  <si>
    <t>rozdíl</t>
  </si>
  <si>
    <t>vyfaktur.</t>
  </si>
  <si>
    <t>ukončení</t>
  </si>
  <si>
    <t>zrealizováno</t>
  </si>
  <si>
    <t>SOD</t>
  </si>
  <si>
    <t>ze dne</t>
  </si>
  <si>
    <t xml:space="preserve">objednatel </t>
  </si>
  <si>
    <t>stavbyvedoucí</t>
  </si>
  <si>
    <t>nabídková cena</t>
  </si>
  <si>
    <t>č.faktury</t>
  </si>
  <si>
    <t>částka bez DPH</t>
  </si>
  <si>
    <t>splatná</t>
  </si>
  <si>
    <t>DUR plus</t>
  </si>
  <si>
    <t>Jezeřany-Maršovice-Obec: NN přel.kab.v.</t>
  </si>
  <si>
    <t>4502182988/M67/4016</t>
  </si>
  <si>
    <t>Škvařil</t>
  </si>
  <si>
    <t>Žák</t>
  </si>
  <si>
    <t>xxx</t>
  </si>
  <si>
    <t>Pohotovost 1/2026</t>
  </si>
  <si>
    <t>4502183622/M67/4016</t>
  </si>
  <si>
    <t>Zifčák</t>
  </si>
  <si>
    <t>26FV200006</t>
  </si>
  <si>
    <t>ZMES</t>
  </si>
  <si>
    <t>BO Nový Přerov 34-výměna SR401</t>
  </si>
  <si>
    <t>4502184971/M67/4016</t>
  </si>
  <si>
    <t>Palas</t>
  </si>
  <si>
    <t>SNK Zbýšov-Nová čtvrť 678: NN přip.kab.</t>
  </si>
  <si>
    <t>4502185734/M67/4016</t>
  </si>
  <si>
    <t>Škvařilová</t>
  </si>
  <si>
    <t>SNK Rosice - Bašnár: NN přip.kab.sm.</t>
  </si>
  <si>
    <t>4502185728/M64/4016</t>
  </si>
  <si>
    <t>SNK Rapotice - Liška: NN řip.kab.</t>
  </si>
  <si>
    <t>4502185731/M67/4016</t>
  </si>
  <si>
    <t>BO Znojmo Jánského výměna kabelu NN</t>
  </si>
  <si>
    <t>4502187057/M67/4016</t>
  </si>
  <si>
    <t>VN74 p.Vedrovice obec sl.4</t>
  </si>
  <si>
    <t>4502187151/M67/4016</t>
  </si>
  <si>
    <t>DUR</t>
  </si>
  <si>
    <t>Celkem za kategorie 1 + 2</t>
  </si>
  <si>
    <t>REGION  ZN 1 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</si>
</sst>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d/m/yyyy;@"/>
  </numFmts>
  <fonts count="1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rial CE"/>
      <charset val="238"/>
    </font>
    <font>
      <b/>
      <sz val="12"/>
      <name val="Arial CE"/>
      <charset val="238"/>
    </font>
    <font>
      <sz val="10"/>
      <name val="Arial CE"/>
      <family val="2"/>
      <charset val="238"/>
    </font>
    <font>
      <b/>
      <sz val="9"/>
      <color rgb="FF0070C0"/>
      <name val="Arial CE"/>
      <charset val="238"/>
    </font>
    <font>
      <b/>
      <sz val="9"/>
      <name val="Arial CE"/>
      <charset val="238"/>
    </font>
    <font>
      <b/>
      <sz val="8"/>
      <name val="Arial CE"/>
      <charset val="238"/>
    </font>
    <font>
      <sz val="9"/>
      <name val="Arial CE"/>
      <charset val="238"/>
    </font>
    <font>
      <b/>
      <sz val="9"/>
      <color rgb="FFFF0000"/>
      <name val="Arial CE"/>
      <charset val="238"/>
    </font>
    <font>
      <u/>
      <sz val="10"/>
      <name val="Arial CE"/>
      <charset val="238"/>
    </font>
    <font>
      <sz val="10"/>
      <color theme="1"/>
      <name val="Arial CE"/>
      <charset val="238"/>
    </font>
    <font>
      <b/>
      <sz val="11"/>
      <color theme="1"/>
      <name val="Aptos Narrow"/>
      <family val="2"/>
      <scheme val="minor"/>
    </font>
    <font>
      <b/>
      <sz val="10"/>
      <color rgb="FF007BB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EB05"/>
        <bgColor indexed="64"/>
      </patternFill>
    </fill>
    <fill>
      <patternFill patternType="solid">
        <fgColor rgb="FF2BEBF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4" fillId="0" borderId="8">
      <alignment horizontal="center"/>
    </xf>
  </cellStyleXfs>
  <cellXfs count="76">
    <xf numFmtId="0" fontId="0" fillId="0" borderId="0" xfId="0"/>
    <xf numFmtId="0" fontId="0" fillId="0" borderId="0" xfId="0" applyAlignment="1">
      <alignment horizontal="center"/>
    </xf>
    <xf numFmtId="4" fontId="2" fillId="2" borderId="1" xfId="0" applyNumberFormat="1" applyFont="1" applyFill="1" applyBorder="1"/>
    <xf numFmtId="4" fontId="2" fillId="3" borderId="2" xfId="0" applyNumberFormat="1" applyFont="1" applyFill="1" applyBorder="1"/>
    <xf numFmtId="4" fontId="2" fillId="4" borderId="3" xfId="0" applyNumberFormat="1" applyFont="1" applyFill="1" applyBorder="1"/>
    <xf numFmtId="4" fontId="2" fillId="5" borderId="1" xfId="0" applyNumberFormat="1" applyFont="1" applyFill="1" applyBorder="1"/>
    <xf numFmtId="4" fontId="2" fillId="6" borderId="2" xfId="0" applyNumberFormat="1" applyFont="1" applyFill="1" applyBorder="1"/>
    <xf numFmtId="4" fontId="2" fillId="7" borderId="3" xfId="0" applyNumberFormat="1" applyFont="1" applyFill="1" applyBorder="1"/>
    <xf numFmtId="14" fontId="6" fillId="0" borderId="6" xfId="2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14" fontId="6" fillId="0" borderId="8" xfId="2" applyFont="1">
      <alignment horizontal="center"/>
    </xf>
    <xf numFmtId="0" fontId="6" fillId="0" borderId="14" xfId="0" applyFont="1" applyBorder="1" applyAlignment="1">
      <alignment horizontal="center"/>
    </xf>
    <xf numFmtId="4" fontId="2" fillId="0" borderId="15" xfId="0" applyNumberFormat="1" applyFont="1" applyBorder="1"/>
    <xf numFmtId="4" fontId="2" fillId="0" borderId="16" xfId="0" applyNumberFormat="1" applyFont="1" applyBorder="1"/>
    <xf numFmtId="4" fontId="2" fillId="0" borderId="17" xfId="0" applyNumberFormat="1" applyFont="1" applyBorder="1"/>
    <xf numFmtId="0" fontId="8" fillId="14" borderId="0" xfId="0" applyFont="1" applyFill="1" applyAlignment="1">
      <alignment horizontal="center"/>
    </xf>
    <xf numFmtId="0" fontId="1" fillId="0" borderId="18" xfId="1" applyBorder="1"/>
    <xf numFmtId="4" fontId="6" fillId="10" borderId="8" xfId="0" applyNumberFormat="1" applyFont="1" applyFill="1" applyBorder="1"/>
    <xf numFmtId="164" fontId="6" fillId="7" borderId="8" xfId="0" applyNumberFormat="1" applyFont="1" applyFill="1" applyBorder="1"/>
    <xf numFmtId="4" fontId="6" fillId="11" borderId="8" xfId="0" applyNumberFormat="1" applyFont="1" applyFill="1" applyBorder="1"/>
    <xf numFmtId="14" fontId="5" fillId="0" borderId="16" xfId="0" applyNumberFormat="1" applyFont="1" applyBorder="1"/>
    <xf numFmtId="49" fontId="8" fillId="0" borderId="16" xfId="0" applyNumberFormat="1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4" fontId="6" fillId="12" borderId="8" xfId="0" applyNumberFormat="1" applyFont="1" applyFill="1" applyBorder="1"/>
    <xf numFmtId="0" fontId="8" fillId="0" borderId="16" xfId="0" applyFont="1" applyBorder="1" applyAlignment="1">
      <alignment horizontal="center"/>
    </xf>
    <xf numFmtId="4" fontId="8" fillId="13" borderId="16" xfId="0" applyNumberFormat="1" applyFont="1" applyFill="1" applyBorder="1"/>
    <xf numFmtId="14" fontId="8" fillId="0" borderId="19" xfId="0" applyNumberFormat="1" applyFont="1" applyBorder="1"/>
    <xf numFmtId="0" fontId="0" fillId="14" borderId="20" xfId="0" applyFill="1" applyBorder="1" applyAlignment="1">
      <alignment horizontal="center" vertical="center"/>
    </xf>
    <xf numFmtId="0" fontId="0" fillId="0" borderId="16" xfId="0" applyBorder="1"/>
    <xf numFmtId="0" fontId="6" fillId="0" borderId="21" xfId="0" applyFont="1" applyBorder="1" applyAlignment="1">
      <alignment horizontal="center"/>
    </xf>
    <xf numFmtId="0" fontId="1" fillId="0" borderId="16" xfId="1" applyFill="1" applyBorder="1"/>
    <xf numFmtId="14" fontId="5" fillId="0" borderId="8" xfId="0" applyNumberFormat="1" applyFont="1" applyBorder="1"/>
    <xf numFmtId="0" fontId="8" fillId="0" borderId="8" xfId="0" applyFont="1" applyBorder="1" applyAlignment="1">
      <alignment horizontal="center"/>
    </xf>
    <xf numFmtId="4" fontId="8" fillId="13" borderId="8" xfId="0" applyNumberFormat="1" applyFont="1" applyFill="1" applyBorder="1"/>
    <xf numFmtId="0" fontId="10" fillId="0" borderId="16" xfId="1" applyFont="1" applyFill="1" applyBorder="1"/>
    <xf numFmtId="0" fontId="11" fillId="0" borderId="16" xfId="0" applyFont="1" applyBorder="1"/>
    <xf numFmtId="0" fontId="0" fillId="0" borderId="20" xfId="0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15" borderId="0" xfId="0" applyNumberFormat="1" applyFont="1" applyFill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3" fontId="12" fillId="15" borderId="22" xfId="0" applyNumberFormat="1" applyFont="1" applyFill="1" applyBorder="1" applyAlignment="1">
      <alignment horizontal="center" vertical="center"/>
    </xf>
    <xf numFmtId="3" fontId="12" fillId="16" borderId="22" xfId="0" applyNumberFormat="1" applyFont="1" applyFill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3" fontId="12" fillId="16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17" borderId="2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/>
    </xf>
  </cellXfs>
  <cellStyles count="3">
    <cellStyle name="Hypertextový odkaz" xfId="1" builtinId="8"/>
    <cellStyle name="Normální" xfId="0" builtinId="0"/>
    <cellStyle name="Styl 1" xfId="2" xr:uid="{9FA37CB3-7B0E-400D-8557-1D8D60C691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41412</xdr:colOff>
      <xdr:row>0</xdr:row>
      <xdr:rowOff>41503</xdr:rowOff>
    </xdr:from>
    <xdr:to>
      <xdr:col>1</xdr:col>
      <xdr:colOff>580778</xdr:colOff>
      <xdr:row>2</xdr:row>
      <xdr:rowOff>165652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AB140CAB-B524-42A8-A4FD-8AF50424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2" y="41503"/>
          <a:ext cx="878953" cy="538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erver-hp\data\A%20-%20S%20T%20A%20V%20B%20Y%20%20%202%200%202%206\2-Jeze&#345;any-Mar&#353;ovice-Obec%20%20%201030089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0ECB-8F3C-420E-948D-AAB0639248E4}">
  <dimension ref="A1:W38"/>
  <sheetViews>
    <sheetView tabSelected="1" zoomScale="115" zoomScaleNormal="115" workbookViewId="0">
      <pane ySplit="5" topLeftCell="A6" activePane="bottomLeft" state="frozen"/>
      <selection pane="bottomLeft" activeCell="G25" sqref="G25"/>
    </sheetView>
  </sheetViews>
  <sheetFormatPr defaultRowHeight="15" x14ac:dyDescent="0.25"/>
  <cols>
    <col min="1" max="1" width="5.140625" customWidth="1"/>
    <col min="9" max="9" width="13.140625" customWidth="1"/>
    <col min="10" max="10" width="40" customWidth="1"/>
    <col min="11" max="11" width="10.85546875" customWidth="1"/>
    <col min="12" max="12" width="12.42578125" customWidth="1"/>
    <col min="13" max="13" width="10.5703125" customWidth="1"/>
    <col min="14" max="14" width="11" style="72" customWidth="1"/>
    <col min="15" max="15" width="12.85546875" customWidth="1"/>
    <col min="16" max="16" width="22.28515625" customWidth="1"/>
    <col min="17" max="17" width="10" customWidth="1"/>
    <col min="18" max="18" width="11.85546875" customWidth="1"/>
    <col min="19" max="19" width="12.7109375" customWidth="1"/>
    <col min="20" max="20" width="12.28515625" customWidth="1"/>
    <col min="21" max="21" width="13.85546875" customWidth="1"/>
    <col min="22" max="22" width="10.5703125" customWidth="1"/>
    <col min="23" max="23" width="11.42578125" customWidth="1"/>
  </cols>
  <sheetData>
    <row r="1" spans="1:23" ht="17.25" customHeight="1" thickTop="1" thickBot="1" x14ac:dyDescent="0.3">
      <c r="A1" s="71" t="s">
        <v>50</v>
      </c>
      <c r="B1" s="71"/>
      <c r="C1" s="2">
        <f t="shared" ref="C1:H1" si="0">SUM(C6:C500)</f>
        <v>126721.85</v>
      </c>
      <c r="D1" s="3">
        <f t="shared" si="0"/>
        <v>481934.88</v>
      </c>
      <c r="E1" s="4">
        <f t="shared" si="0"/>
        <v>168053.77000000002</v>
      </c>
      <c r="F1" s="5">
        <f t="shared" si="0"/>
        <v>0</v>
      </c>
      <c r="G1" s="6">
        <f t="shared" si="0"/>
        <v>0</v>
      </c>
      <c r="H1" s="7">
        <f t="shared" si="0"/>
        <v>37440</v>
      </c>
      <c r="I1" s="1"/>
      <c r="K1" s="63" t="s">
        <v>0</v>
      </c>
      <c r="L1" s="63"/>
      <c r="M1" s="70" t="s">
        <v>1</v>
      </c>
      <c r="N1" s="70"/>
      <c r="P1" s="67" t="s">
        <v>49</v>
      </c>
      <c r="Q1" s="67"/>
      <c r="R1" s="67"/>
      <c r="S1" s="67"/>
    </row>
    <row r="2" spans="1:23" ht="15.75" customHeight="1" thickTop="1" x14ac:dyDescent="0.25">
      <c r="A2" s="71"/>
      <c r="B2" s="71"/>
      <c r="I2" s="1"/>
      <c r="K2" s="64" t="s">
        <v>48</v>
      </c>
      <c r="L2" s="65" t="s">
        <v>33</v>
      </c>
      <c r="M2" s="64" t="s">
        <v>48</v>
      </c>
      <c r="N2" s="65" t="s">
        <v>33</v>
      </c>
      <c r="P2" s="62" t="s">
        <v>48</v>
      </c>
      <c r="Q2" s="61"/>
      <c r="R2" s="68" t="s">
        <v>33</v>
      </c>
      <c r="S2" s="68"/>
    </row>
    <row r="3" spans="1:23" ht="15.75" customHeight="1" thickBot="1" x14ac:dyDescent="0.3">
      <c r="A3" s="71"/>
      <c r="B3" s="71"/>
      <c r="I3" s="1"/>
      <c r="K3" s="66">
        <f>SUMIF(B6:B995, "DUR plus", C6:C995)+SUMIF(B6:B995, "DUR plus", D6:D995)+SUMIF(B6:B995, "DUR plus", E6:E995)</f>
        <v>608656.73</v>
      </c>
      <c r="L3" s="66">
        <f>SUMIF(B6:B995, "ZMES", C6:C995)+SUMIF(B6:B995, "ZMES", D6:D995)+SUMIF(B6:B995, "ZMES", E6:E995)</f>
        <v>168053.77000000002</v>
      </c>
      <c r="M3" s="66">
        <f>SUMIF(B6:B995, "DUR plus", F6:F995)+SUMIF(B6:B995, "DUR plus", G6:G995)+SUMIF(B6:B995, "DUR plus", H6:H995)</f>
        <v>37440</v>
      </c>
      <c r="N3" s="66">
        <f>SUMIF(B6:B995, "ZMES", F6:F995)+SUMIF(B6:B995, "ZMES", G6:G995)+SUMIF(B6:B995, "ZMES", H6:H995)</f>
        <v>0</v>
      </c>
      <c r="P3" s="61">
        <f>K3+M3</f>
        <v>646096.73</v>
      </c>
      <c r="Q3" s="61"/>
      <c r="R3" s="69">
        <f>L3+N3</f>
        <v>168053.77000000002</v>
      </c>
      <c r="S3" s="69"/>
    </row>
    <row r="4" spans="1:23" ht="16.5" customHeight="1" thickBot="1" x14ac:dyDescent="0.3">
      <c r="A4" s="75"/>
      <c r="B4" s="75"/>
      <c r="C4" s="55" t="s">
        <v>0</v>
      </c>
      <c r="D4" s="56"/>
      <c r="E4" s="57"/>
      <c r="F4" s="58" t="s">
        <v>1</v>
      </c>
      <c r="G4" s="59"/>
      <c r="H4" s="60"/>
      <c r="I4" s="1"/>
      <c r="P4" s="1"/>
    </row>
    <row r="5" spans="1:23" ht="24.75" thickBot="1" x14ac:dyDescent="0.3">
      <c r="A5" s="9" t="s">
        <v>3</v>
      </c>
      <c r="B5" s="8" t="s">
        <v>2</v>
      </c>
      <c r="C5" s="10" t="s">
        <v>4</v>
      </c>
      <c r="D5" s="11" t="s">
        <v>5</v>
      </c>
      <c r="E5" s="12" t="s">
        <v>6</v>
      </c>
      <c r="F5" s="13" t="s">
        <v>4</v>
      </c>
      <c r="G5" s="14" t="s">
        <v>6</v>
      </c>
      <c r="H5" s="15" t="s">
        <v>7</v>
      </c>
      <c r="I5" s="16" t="s">
        <v>8</v>
      </c>
      <c r="J5" s="17" t="s">
        <v>9</v>
      </c>
      <c r="K5" s="18" t="s">
        <v>10</v>
      </c>
      <c r="L5" s="19" t="s">
        <v>11</v>
      </c>
      <c r="M5" s="20" t="s">
        <v>12</v>
      </c>
      <c r="N5" s="22" t="s">
        <v>13</v>
      </c>
      <c r="O5" s="22" t="s">
        <v>14</v>
      </c>
      <c r="P5" s="23" t="s">
        <v>15</v>
      </c>
      <c r="Q5" s="23" t="s">
        <v>16</v>
      </c>
      <c r="R5" s="24" t="s">
        <v>17</v>
      </c>
      <c r="S5" s="21" t="s">
        <v>18</v>
      </c>
      <c r="T5" s="25" t="s">
        <v>19</v>
      </c>
      <c r="U5" s="23" t="s">
        <v>20</v>
      </c>
      <c r="V5" s="26" t="s">
        <v>21</v>
      </c>
      <c r="W5" s="23" t="s">
        <v>22</v>
      </c>
    </row>
    <row r="6" spans="1:23" x14ac:dyDescent="0.25">
      <c r="A6" s="28">
        <v>1</v>
      </c>
      <c r="B6" s="27" t="s">
        <v>23</v>
      </c>
      <c r="C6" s="29">
        <v>126721.85</v>
      </c>
      <c r="D6" s="30"/>
      <c r="E6" s="31"/>
      <c r="F6" s="29"/>
      <c r="G6" s="30"/>
      <c r="H6" s="31"/>
      <c r="I6" s="32">
        <v>1030089176</v>
      </c>
      <c r="J6" s="33" t="s">
        <v>24</v>
      </c>
      <c r="K6" s="34">
        <f>SUM(C6:H6)</f>
        <v>126721.85</v>
      </c>
      <c r="L6" s="35">
        <f>+M6-K6</f>
        <v>-126721.85</v>
      </c>
      <c r="M6" s="36">
        <f t="shared" ref="M6:M33" si="1">+V6</f>
        <v>0</v>
      </c>
      <c r="N6" s="73">
        <v>46173</v>
      </c>
      <c r="O6" s="37"/>
      <c r="P6" s="38" t="s">
        <v>25</v>
      </c>
      <c r="Q6" s="39">
        <v>46055</v>
      </c>
      <c r="R6" s="39" t="s">
        <v>26</v>
      </c>
      <c r="S6" s="40" t="s">
        <v>27</v>
      </c>
      <c r="T6" s="41">
        <f t="shared" ref="T6:T33" si="2">+K6</f>
        <v>126721.85</v>
      </c>
      <c r="U6" s="42"/>
      <c r="V6" s="43"/>
      <c r="W6" s="44"/>
    </row>
    <row r="7" spans="1:23" x14ac:dyDescent="0.25">
      <c r="A7" s="28">
        <v>2</v>
      </c>
      <c r="B7" s="27" t="s">
        <v>23</v>
      </c>
      <c r="C7" s="29"/>
      <c r="D7" s="30"/>
      <c r="E7" s="31"/>
      <c r="F7" s="29"/>
      <c r="G7" s="30"/>
      <c r="H7" s="31">
        <v>37440</v>
      </c>
      <c r="I7" s="45" t="s">
        <v>28</v>
      </c>
      <c r="J7" s="46" t="s">
        <v>29</v>
      </c>
      <c r="K7" s="34">
        <f t="shared" ref="K7:K33" si="3">SUM(C7:H7)</f>
        <v>37440</v>
      </c>
      <c r="L7" s="35">
        <f t="shared" ref="L7:L33" si="4">+M7-K7</f>
        <v>0</v>
      </c>
      <c r="M7" s="36">
        <f t="shared" si="1"/>
        <v>37440</v>
      </c>
      <c r="N7" s="73">
        <v>46063</v>
      </c>
      <c r="O7" s="37"/>
      <c r="P7" s="38" t="s">
        <v>30</v>
      </c>
      <c r="Q7" s="39">
        <v>46056</v>
      </c>
      <c r="R7" s="39" t="s">
        <v>31</v>
      </c>
      <c r="S7" s="40" t="s">
        <v>27</v>
      </c>
      <c r="T7" s="41">
        <f t="shared" si="2"/>
        <v>37440</v>
      </c>
      <c r="U7" s="42" t="s">
        <v>32</v>
      </c>
      <c r="V7" s="43">
        <v>37440</v>
      </c>
      <c r="W7" s="44">
        <v>46117</v>
      </c>
    </row>
    <row r="8" spans="1:23" x14ac:dyDescent="0.25">
      <c r="A8" s="28">
        <v>3</v>
      </c>
      <c r="B8" s="27" t="s">
        <v>33</v>
      </c>
      <c r="C8" s="29"/>
      <c r="D8" s="30"/>
      <c r="E8" s="31">
        <v>47637.82</v>
      </c>
      <c r="F8" s="29"/>
      <c r="G8" s="30"/>
      <c r="H8" s="31"/>
      <c r="I8" s="45">
        <v>16002375913</v>
      </c>
      <c r="J8" s="46" t="s">
        <v>34</v>
      </c>
      <c r="K8" s="34">
        <f t="shared" si="3"/>
        <v>47637.82</v>
      </c>
      <c r="L8" s="35">
        <f t="shared" si="4"/>
        <v>-47637.82</v>
      </c>
      <c r="M8" s="36">
        <f t="shared" si="1"/>
        <v>0</v>
      </c>
      <c r="N8" s="73">
        <v>46135</v>
      </c>
      <c r="O8" s="37"/>
      <c r="P8" s="38" t="s">
        <v>35</v>
      </c>
      <c r="Q8" s="39">
        <v>46058</v>
      </c>
      <c r="R8" s="39" t="s">
        <v>31</v>
      </c>
      <c r="S8" s="40" t="s">
        <v>36</v>
      </c>
      <c r="T8" s="41">
        <f t="shared" si="2"/>
        <v>47637.82</v>
      </c>
      <c r="U8" s="42"/>
      <c r="V8" s="43"/>
      <c r="W8" s="44"/>
    </row>
    <row r="9" spans="1:23" x14ac:dyDescent="0.25">
      <c r="A9" s="47">
        <v>4</v>
      </c>
      <c r="B9" s="27" t="s">
        <v>23</v>
      </c>
      <c r="C9" s="29"/>
      <c r="D9" s="30">
        <v>171423.91</v>
      </c>
      <c r="E9" s="31"/>
      <c r="F9" s="29"/>
      <c r="G9" s="30"/>
      <c r="H9" s="31"/>
      <c r="I9" s="45">
        <v>1030101178</v>
      </c>
      <c r="J9" s="48" t="s">
        <v>37</v>
      </c>
      <c r="K9" s="34">
        <f t="shared" si="3"/>
        <v>171423.91</v>
      </c>
      <c r="L9" s="35">
        <f t="shared" si="4"/>
        <v>-171423.91</v>
      </c>
      <c r="M9" s="36">
        <f t="shared" si="1"/>
        <v>0</v>
      </c>
      <c r="N9" s="74">
        <v>46530</v>
      </c>
      <c r="O9" s="49"/>
      <c r="P9" s="38" t="s">
        <v>38</v>
      </c>
      <c r="Q9" s="39">
        <v>46062</v>
      </c>
      <c r="R9" s="39" t="s">
        <v>39</v>
      </c>
      <c r="S9" s="40" t="s">
        <v>27</v>
      </c>
      <c r="T9" s="41">
        <f t="shared" si="2"/>
        <v>171423.91</v>
      </c>
      <c r="U9" s="50"/>
      <c r="V9" s="51"/>
      <c r="W9" s="44"/>
    </row>
    <row r="10" spans="1:23" x14ac:dyDescent="0.25">
      <c r="A10" s="28">
        <v>5</v>
      </c>
      <c r="B10" s="27" t="s">
        <v>23</v>
      </c>
      <c r="C10" s="29"/>
      <c r="D10" s="30">
        <v>159529.06</v>
      </c>
      <c r="E10" s="31"/>
      <c r="F10" s="29"/>
      <c r="G10" s="30"/>
      <c r="H10" s="31"/>
      <c r="I10" s="45">
        <v>1030101304</v>
      </c>
      <c r="J10" s="48" t="s">
        <v>40</v>
      </c>
      <c r="K10" s="34">
        <f t="shared" si="3"/>
        <v>159529.06</v>
      </c>
      <c r="L10" s="35">
        <f t="shared" si="4"/>
        <v>-159529.06</v>
      </c>
      <c r="M10" s="36">
        <f t="shared" si="1"/>
        <v>0</v>
      </c>
      <c r="N10" s="74">
        <v>46530</v>
      </c>
      <c r="O10" s="37"/>
      <c r="P10" s="38" t="s">
        <v>41</v>
      </c>
      <c r="Q10" s="39">
        <v>46062</v>
      </c>
      <c r="R10" s="39" t="s">
        <v>39</v>
      </c>
      <c r="S10" s="40" t="s">
        <v>27</v>
      </c>
      <c r="T10" s="41">
        <f t="shared" si="2"/>
        <v>159529.06</v>
      </c>
      <c r="U10" s="42"/>
      <c r="V10" s="43"/>
      <c r="W10" s="44"/>
    </row>
    <row r="11" spans="1:23" x14ac:dyDescent="0.25">
      <c r="A11" s="28">
        <v>6</v>
      </c>
      <c r="B11" s="27" t="s">
        <v>23</v>
      </c>
      <c r="C11" s="29"/>
      <c r="D11" s="30">
        <v>150981.91</v>
      </c>
      <c r="E11" s="31"/>
      <c r="F11" s="29"/>
      <c r="G11" s="30"/>
      <c r="H11" s="31"/>
      <c r="I11" s="45">
        <v>1030102008</v>
      </c>
      <c r="J11" s="48" t="s">
        <v>42</v>
      </c>
      <c r="K11" s="34">
        <f t="shared" si="3"/>
        <v>150981.91</v>
      </c>
      <c r="L11" s="35">
        <f t="shared" si="4"/>
        <v>-150981.91</v>
      </c>
      <c r="M11" s="36">
        <f t="shared" si="1"/>
        <v>0</v>
      </c>
      <c r="N11" s="73">
        <v>46551</v>
      </c>
      <c r="O11" s="37"/>
      <c r="P11" s="38" t="s">
        <v>43</v>
      </c>
      <c r="Q11" s="39">
        <v>46062</v>
      </c>
      <c r="R11" s="39" t="s">
        <v>39</v>
      </c>
      <c r="S11" s="40" t="s">
        <v>27</v>
      </c>
      <c r="T11" s="41">
        <f t="shared" si="2"/>
        <v>150981.91</v>
      </c>
      <c r="U11" s="42"/>
      <c r="V11" s="43"/>
      <c r="W11" s="44"/>
    </row>
    <row r="12" spans="1:23" x14ac:dyDescent="0.25">
      <c r="A12" s="28">
        <v>7</v>
      </c>
      <c r="B12" s="27" t="s">
        <v>33</v>
      </c>
      <c r="C12" s="29"/>
      <c r="D12" s="30"/>
      <c r="E12" s="31">
        <v>79084.22</v>
      </c>
      <c r="F12" s="29"/>
      <c r="G12" s="30"/>
      <c r="H12" s="31"/>
      <c r="I12" s="45">
        <v>16002377039</v>
      </c>
      <c r="J12" s="52" t="s">
        <v>44</v>
      </c>
      <c r="K12" s="34">
        <f t="shared" si="3"/>
        <v>79084.22</v>
      </c>
      <c r="L12" s="35">
        <f t="shared" si="4"/>
        <v>-79084.22</v>
      </c>
      <c r="M12" s="36">
        <f t="shared" si="1"/>
        <v>0</v>
      </c>
      <c r="N12" s="73">
        <v>46112</v>
      </c>
      <c r="O12" s="37"/>
      <c r="P12" s="38" t="s">
        <v>45</v>
      </c>
      <c r="Q12" s="39">
        <v>46064</v>
      </c>
      <c r="R12" s="39" t="s">
        <v>31</v>
      </c>
      <c r="S12" s="40" t="s">
        <v>36</v>
      </c>
      <c r="T12" s="41">
        <f t="shared" si="2"/>
        <v>79084.22</v>
      </c>
      <c r="U12" s="42"/>
      <c r="V12" s="43"/>
      <c r="W12" s="44"/>
    </row>
    <row r="13" spans="1:23" x14ac:dyDescent="0.25">
      <c r="A13" s="28">
        <v>8</v>
      </c>
      <c r="B13" s="27" t="s">
        <v>33</v>
      </c>
      <c r="C13" s="29"/>
      <c r="D13" s="30"/>
      <c r="E13" s="31">
        <v>41331.730000000003</v>
      </c>
      <c r="F13" s="29"/>
      <c r="G13" s="30"/>
      <c r="H13" s="31"/>
      <c r="I13" s="45">
        <v>16002244285</v>
      </c>
      <c r="J13" s="52" t="s">
        <v>46</v>
      </c>
      <c r="K13" s="34">
        <f t="shared" si="3"/>
        <v>41331.730000000003</v>
      </c>
      <c r="L13" s="35">
        <f t="shared" si="4"/>
        <v>-41331.730000000003</v>
      </c>
      <c r="M13" s="36">
        <f t="shared" si="1"/>
        <v>0</v>
      </c>
      <c r="N13" s="73">
        <v>46233</v>
      </c>
      <c r="O13" s="37"/>
      <c r="P13" s="38" t="s">
        <v>47</v>
      </c>
      <c r="Q13" s="39">
        <v>46064</v>
      </c>
      <c r="R13" s="39" t="s">
        <v>31</v>
      </c>
      <c r="S13" s="40" t="s">
        <v>36</v>
      </c>
      <c r="T13" s="41">
        <f t="shared" si="2"/>
        <v>41331.730000000003</v>
      </c>
      <c r="U13" s="42"/>
      <c r="V13" s="43"/>
      <c r="W13" s="44"/>
    </row>
    <row r="14" spans="1:23" x14ac:dyDescent="0.25">
      <c r="A14" s="28">
        <v>9</v>
      </c>
      <c r="B14" s="27"/>
      <c r="C14" s="29"/>
      <c r="D14" s="30"/>
      <c r="E14" s="31"/>
      <c r="F14" s="29"/>
      <c r="G14" s="30"/>
      <c r="H14" s="31"/>
      <c r="I14" s="45"/>
      <c r="J14" s="53"/>
      <c r="K14" s="34">
        <f t="shared" si="3"/>
        <v>0</v>
      </c>
      <c r="L14" s="35">
        <f t="shared" si="4"/>
        <v>0</v>
      </c>
      <c r="M14" s="36">
        <f t="shared" si="1"/>
        <v>0</v>
      </c>
      <c r="N14" s="73"/>
      <c r="O14" s="37"/>
      <c r="P14" s="38"/>
      <c r="Q14" s="39"/>
      <c r="R14" s="39"/>
      <c r="S14" s="40"/>
      <c r="T14" s="41">
        <f t="shared" si="2"/>
        <v>0</v>
      </c>
      <c r="U14" s="42"/>
      <c r="V14" s="43"/>
      <c r="W14" s="44"/>
    </row>
    <row r="15" spans="1:23" x14ac:dyDescent="0.25">
      <c r="A15" s="28">
        <v>10</v>
      </c>
      <c r="B15" s="27"/>
      <c r="C15" s="29"/>
      <c r="D15" s="30"/>
      <c r="E15" s="31"/>
      <c r="F15" s="29"/>
      <c r="G15" s="30"/>
      <c r="H15" s="31"/>
      <c r="I15" s="45"/>
      <c r="J15" s="53"/>
      <c r="K15" s="34">
        <f t="shared" si="3"/>
        <v>0</v>
      </c>
      <c r="L15" s="35">
        <f t="shared" si="4"/>
        <v>0</v>
      </c>
      <c r="M15" s="36">
        <f t="shared" si="1"/>
        <v>0</v>
      </c>
      <c r="N15" s="73"/>
      <c r="O15" s="37"/>
      <c r="P15" s="38"/>
      <c r="Q15" s="39"/>
      <c r="R15" s="39"/>
      <c r="S15" s="40"/>
      <c r="T15" s="41">
        <f t="shared" si="2"/>
        <v>0</v>
      </c>
      <c r="U15" s="42"/>
      <c r="V15" s="43"/>
      <c r="W15" s="44"/>
    </row>
    <row r="16" spans="1:23" x14ac:dyDescent="0.25">
      <c r="A16" s="28">
        <v>13</v>
      </c>
      <c r="B16" s="27"/>
      <c r="C16" s="29"/>
      <c r="D16" s="30"/>
      <c r="E16" s="31"/>
      <c r="F16" s="29"/>
      <c r="G16" s="30"/>
      <c r="H16" s="31"/>
      <c r="I16" s="45"/>
      <c r="J16" s="48"/>
      <c r="K16" s="34">
        <f t="shared" si="3"/>
        <v>0</v>
      </c>
      <c r="L16" s="35">
        <f t="shared" si="4"/>
        <v>0</v>
      </c>
      <c r="M16" s="36">
        <f t="shared" si="1"/>
        <v>0</v>
      </c>
      <c r="N16" s="73"/>
      <c r="O16" s="37"/>
      <c r="P16" s="38"/>
      <c r="Q16" s="39"/>
      <c r="R16" s="39"/>
      <c r="S16" s="40"/>
      <c r="T16" s="41">
        <f t="shared" si="2"/>
        <v>0</v>
      </c>
      <c r="U16" s="42"/>
      <c r="V16" s="43"/>
      <c r="W16" s="44"/>
    </row>
    <row r="17" spans="1:23" x14ac:dyDescent="0.25">
      <c r="A17" s="28">
        <v>14</v>
      </c>
      <c r="B17" s="27"/>
      <c r="C17" s="29"/>
      <c r="D17" s="30"/>
      <c r="E17" s="31"/>
      <c r="F17" s="29"/>
      <c r="G17" s="30"/>
      <c r="H17" s="31"/>
      <c r="I17" s="45"/>
      <c r="J17" s="53"/>
      <c r="K17" s="34">
        <f t="shared" si="3"/>
        <v>0</v>
      </c>
      <c r="L17" s="35">
        <f t="shared" si="4"/>
        <v>0</v>
      </c>
      <c r="M17" s="36">
        <f t="shared" si="1"/>
        <v>0</v>
      </c>
      <c r="N17" s="73"/>
      <c r="O17" s="37"/>
      <c r="P17" s="38"/>
      <c r="Q17" s="39"/>
      <c r="R17" s="39"/>
      <c r="S17" s="40"/>
      <c r="T17" s="41">
        <f t="shared" si="2"/>
        <v>0</v>
      </c>
      <c r="U17" s="42"/>
      <c r="V17" s="43"/>
      <c r="W17" s="44"/>
    </row>
    <row r="18" spans="1:23" x14ac:dyDescent="0.25">
      <c r="A18" s="28">
        <v>15</v>
      </c>
      <c r="B18" s="27"/>
      <c r="C18" s="29"/>
      <c r="D18" s="30"/>
      <c r="E18" s="31"/>
      <c r="F18" s="29"/>
      <c r="G18" s="30"/>
      <c r="H18" s="31"/>
      <c r="I18" s="45"/>
      <c r="J18" s="48"/>
      <c r="K18" s="34">
        <f t="shared" si="3"/>
        <v>0</v>
      </c>
      <c r="L18" s="35">
        <f t="shared" si="4"/>
        <v>0</v>
      </c>
      <c r="M18" s="36">
        <f t="shared" si="1"/>
        <v>0</v>
      </c>
      <c r="N18" s="73"/>
      <c r="O18" s="37"/>
      <c r="P18" s="38"/>
      <c r="Q18" s="39"/>
      <c r="R18" s="39"/>
      <c r="S18" s="40"/>
      <c r="T18" s="41">
        <f t="shared" si="2"/>
        <v>0</v>
      </c>
      <c r="U18" s="42"/>
      <c r="V18" s="43"/>
      <c r="W18" s="44"/>
    </row>
    <row r="19" spans="1:23" x14ac:dyDescent="0.25">
      <c r="A19" s="28">
        <v>16</v>
      </c>
      <c r="B19" s="27"/>
      <c r="C19" s="29"/>
      <c r="D19" s="30"/>
      <c r="E19" s="31"/>
      <c r="F19" s="29"/>
      <c r="G19" s="30"/>
      <c r="H19" s="31"/>
      <c r="I19" s="45"/>
      <c r="J19" s="48"/>
      <c r="K19" s="34">
        <f t="shared" si="3"/>
        <v>0</v>
      </c>
      <c r="L19" s="35">
        <f t="shared" si="4"/>
        <v>0</v>
      </c>
      <c r="M19" s="36">
        <f t="shared" si="1"/>
        <v>0</v>
      </c>
      <c r="N19" s="73"/>
      <c r="O19" s="37"/>
      <c r="P19" s="38"/>
      <c r="Q19" s="39"/>
      <c r="R19" s="39"/>
      <c r="S19" s="40"/>
      <c r="T19" s="41">
        <f t="shared" si="2"/>
        <v>0</v>
      </c>
      <c r="U19" s="42"/>
      <c r="V19" s="43"/>
      <c r="W19" s="44"/>
    </row>
    <row r="20" spans="1:23" x14ac:dyDescent="0.25">
      <c r="A20" s="28">
        <v>17</v>
      </c>
      <c r="B20" s="27"/>
      <c r="C20" s="29"/>
      <c r="D20" s="30"/>
      <c r="E20" s="31"/>
      <c r="F20" s="29"/>
      <c r="G20" s="30"/>
      <c r="H20" s="31"/>
      <c r="I20" s="45"/>
      <c r="J20" s="53"/>
      <c r="K20" s="34">
        <f t="shared" si="3"/>
        <v>0</v>
      </c>
      <c r="L20" s="35">
        <f t="shared" si="4"/>
        <v>0</v>
      </c>
      <c r="M20" s="36">
        <f t="shared" si="1"/>
        <v>0</v>
      </c>
      <c r="N20" s="73"/>
      <c r="O20" s="37"/>
      <c r="P20" s="38"/>
      <c r="Q20" s="39"/>
      <c r="R20" s="39"/>
      <c r="S20" s="40"/>
      <c r="T20" s="41">
        <f t="shared" si="2"/>
        <v>0</v>
      </c>
      <c r="U20" s="42"/>
      <c r="V20" s="43"/>
      <c r="W20" s="44"/>
    </row>
    <row r="21" spans="1:23" x14ac:dyDescent="0.25">
      <c r="A21" s="28">
        <v>18</v>
      </c>
      <c r="B21" s="27"/>
      <c r="C21" s="29"/>
      <c r="D21" s="30"/>
      <c r="E21" s="31"/>
      <c r="F21" s="29"/>
      <c r="G21" s="30"/>
      <c r="H21" s="31"/>
      <c r="I21" s="45"/>
      <c r="J21" s="53"/>
      <c r="K21" s="34">
        <f t="shared" si="3"/>
        <v>0</v>
      </c>
      <c r="L21" s="35">
        <f t="shared" si="4"/>
        <v>0</v>
      </c>
      <c r="M21" s="36">
        <f t="shared" si="1"/>
        <v>0</v>
      </c>
      <c r="N21" s="73"/>
      <c r="O21" s="37"/>
      <c r="P21" s="38"/>
      <c r="Q21" s="39"/>
      <c r="R21" s="39"/>
      <c r="S21" s="40"/>
      <c r="T21" s="41">
        <f t="shared" si="2"/>
        <v>0</v>
      </c>
      <c r="U21" s="42"/>
      <c r="V21" s="43"/>
      <c r="W21" s="44"/>
    </row>
    <row r="22" spans="1:23" x14ac:dyDescent="0.25">
      <c r="A22" s="28">
        <v>19</v>
      </c>
      <c r="B22" s="27"/>
      <c r="C22" s="29"/>
      <c r="D22" s="30"/>
      <c r="E22" s="31"/>
      <c r="F22" s="29"/>
      <c r="G22" s="30"/>
      <c r="H22" s="31"/>
      <c r="I22" s="54"/>
      <c r="J22" s="53"/>
      <c r="K22" s="34">
        <f t="shared" si="3"/>
        <v>0</v>
      </c>
      <c r="L22" s="35">
        <f t="shared" si="4"/>
        <v>0</v>
      </c>
      <c r="M22" s="36">
        <f t="shared" si="1"/>
        <v>0</v>
      </c>
      <c r="N22" s="73"/>
      <c r="O22" s="37"/>
      <c r="P22" s="38"/>
      <c r="Q22" s="39"/>
      <c r="R22" s="39"/>
      <c r="S22" s="40"/>
      <c r="T22" s="41">
        <f t="shared" si="2"/>
        <v>0</v>
      </c>
      <c r="U22" s="42"/>
      <c r="V22" s="43"/>
      <c r="W22" s="44"/>
    </row>
    <row r="23" spans="1:23" x14ac:dyDescent="0.25">
      <c r="A23" s="28">
        <v>20</v>
      </c>
      <c r="B23" s="27"/>
      <c r="C23" s="29"/>
      <c r="D23" s="30"/>
      <c r="E23" s="31"/>
      <c r="F23" s="29"/>
      <c r="G23" s="30"/>
      <c r="H23" s="31"/>
      <c r="I23" s="54"/>
      <c r="J23" s="53"/>
      <c r="K23" s="34">
        <f t="shared" si="3"/>
        <v>0</v>
      </c>
      <c r="L23" s="35">
        <f t="shared" si="4"/>
        <v>0</v>
      </c>
      <c r="M23" s="36">
        <f t="shared" si="1"/>
        <v>0</v>
      </c>
      <c r="N23" s="73"/>
      <c r="O23" s="37"/>
      <c r="P23" s="38"/>
      <c r="Q23" s="39"/>
      <c r="R23" s="39"/>
      <c r="S23" s="40"/>
      <c r="T23" s="41">
        <f t="shared" si="2"/>
        <v>0</v>
      </c>
      <c r="U23" s="42"/>
      <c r="V23" s="43"/>
      <c r="W23" s="44"/>
    </row>
    <row r="24" spans="1:23" x14ac:dyDescent="0.25">
      <c r="A24" s="28">
        <v>21</v>
      </c>
      <c r="B24" s="27"/>
      <c r="C24" s="29"/>
      <c r="D24" s="30"/>
      <c r="E24" s="31"/>
      <c r="F24" s="29"/>
      <c r="G24" s="30"/>
      <c r="H24" s="31"/>
      <c r="I24" s="54"/>
      <c r="J24" s="53"/>
      <c r="K24" s="34">
        <f t="shared" si="3"/>
        <v>0</v>
      </c>
      <c r="L24" s="35">
        <f t="shared" si="4"/>
        <v>0</v>
      </c>
      <c r="M24" s="36">
        <f t="shared" si="1"/>
        <v>0</v>
      </c>
      <c r="N24" s="73"/>
      <c r="O24" s="37"/>
      <c r="P24" s="38"/>
      <c r="Q24" s="39"/>
      <c r="R24" s="39"/>
      <c r="S24" s="40"/>
      <c r="T24" s="41">
        <f t="shared" si="2"/>
        <v>0</v>
      </c>
      <c r="U24" s="42"/>
      <c r="V24" s="43"/>
      <c r="W24" s="44"/>
    </row>
    <row r="25" spans="1:23" x14ac:dyDescent="0.25">
      <c r="A25" s="28">
        <v>22</v>
      </c>
      <c r="B25" s="27"/>
      <c r="C25" s="29"/>
      <c r="D25" s="30"/>
      <c r="E25" s="31"/>
      <c r="F25" s="29"/>
      <c r="G25" s="30"/>
      <c r="H25" s="31"/>
      <c r="I25" s="54"/>
      <c r="J25" s="53"/>
      <c r="K25" s="34">
        <f t="shared" si="3"/>
        <v>0</v>
      </c>
      <c r="L25" s="35">
        <f t="shared" si="4"/>
        <v>0</v>
      </c>
      <c r="M25" s="36">
        <f t="shared" si="1"/>
        <v>0</v>
      </c>
      <c r="N25" s="73"/>
      <c r="O25" s="37"/>
      <c r="P25" s="38"/>
      <c r="Q25" s="39"/>
      <c r="R25" s="39"/>
      <c r="S25" s="40"/>
      <c r="T25" s="41">
        <f t="shared" si="2"/>
        <v>0</v>
      </c>
      <c r="U25" s="42"/>
      <c r="V25" s="43"/>
      <c r="W25" s="44"/>
    </row>
    <row r="26" spans="1:23" x14ac:dyDescent="0.25">
      <c r="A26" s="28">
        <v>23</v>
      </c>
      <c r="B26" s="27"/>
      <c r="C26" s="29"/>
      <c r="D26" s="30"/>
      <c r="E26" s="31"/>
      <c r="F26" s="29"/>
      <c r="G26" s="30"/>
      <c r="H26" s="31"/>
      <c r="I26" s="54"/>
      <c r="J26" s="53"/>
      <c r="K26" s="34">
        <f t="shared" si="3"/>
        <v>0</v>
      </c>
      <c r="L26" s="35">
        <f t="shared" si="4"/>
        <v>0</v>
      </c>
      <c r="M26" s="36">
        <f t="shared" si="1"/>
        <v>0</v>
      </c>
      <c r="N26" s="73"/>
      <c r="O26" s="37"/>
      <c r="P26" s="38"/>
      <c r="Q26" s="39"/>
      <c r="R26" s="39"/>
      <c r="S26" s="40"/>
      <c r="T26" s="41">
        <f t="shared" si="2"/>
        <v>0</v>
      </c>
      <c r="U26" s="42"/>
      <c r="V26" s="43"/>
      <c r="W26" s="44"/>
    </row>
    <row r="27" spans="1:23" x14ac:dyDescent="0.25">
      <c r="A27" s="28">
        <v>24</v>
      </c>
      <c r="B27" s="27"/>
      <c r="C27" s="29"/>
      <c r="D27" s="30"/>
      <c r="E27" s="31"/>
      <c r="F27" s="29"/>
      <c r="G27" s="30"/>
      <c r="H27" s="31"/>
      <c r="I27" s="54"/>
      <c r="J27" s="53"/>
      <c r="K27" s="34">
        <f t="shared" si="3"/>
        <v>0</v>
      </c>
      <c r="L27" s="35">
        <f t="shared" si="4"/>
        <v>0</v>
      </c>
      <c r="M27" s="36">
        <f t="shared" si="1"/>
        <v>0</v>
      </c>
      <c r="N27" s="73"/>
      <c r="O27" s="37"/>
      <c r="P27" s="38"/>
      <c r="Q27" s="39"/>
      <c r="R27" s="39"/>
      <c r="S27" s="40"/>
      <c r="T27" s="41">
        <f t="shared" si="2"/>
        <v>0</v>
      </c>
      <c r="U27" s="42"/>
      <c r="V27" s="43"/>
      <c r="W27" s="44"/>
    </row>
    <row r="28" spans="1:23" x14ac:dyDescent="0.25">
      <c r="A28" s="28">
        <v>25</v>
      </c>
      <c r="B28" s="27"/>
      <c r="C28" s="29"/>
      <c r="D28" s="30"/>
      <c r="E28" s="31"/>
      <c r="F28" s="29"/>
      <c r="G28" s="30"/>
      <c r="H28" s="31"/>
      <c r="I28" s="54"/>
      <c r="J28" s="53"/>
      <c r="K28" s="34">
        <f t="shared" si="3"/>
        <v>0</v>
      </c>
      <c r="L28" s="35">
        <f t="shared" si="4"/>
        <v>0</v>
      </c>
      <c r="M28" s="36">
        <f t="shared" si="1"/>
        <v>0</v>
      </c>
      <c r="N28" s="73"/>
      <c r="O28" s="37"/>
      <c r="P28" s="38"/>
      <c r="Q28" s="39"/>
      <c r="R28" s="39"/>
      <c r="S28" s="40"/>
      <c r="T28" s="41">
        <f t="shared" si="2"/>
        <v>0</v>
      </c>
      <c r="U28" s="42"/>
      <c r="V28" s="43"/>
      <c r="W28" s="44"/>
    </row>
    <row r="29" spans="1:23" x14ac:dyDescent="0.25">
      <c r="A29" s="28">
        <v>26</v>
      </c>
      <c r="B29" s="27"/>
      <c r="C29" s="29"/>
      <c r="D29" s="30"/>
      <c r="E29" s="31"/>
      <c r="F29" s="29"/>
      <c r="G29" s="30"/>
      <c r="H29" s="31"/>
      <c r="I29" s="54"/>
      <c r="J29" s="53"/>
      <c r="K29" s="34">
        <f t="shared" si="3"/>
        <v>0</v>
      </c>
      <c r="L29" s="35">
        <f t="shared" si="4"/>
        <v>0</v>
      </c>
      <c r="M29" s="36">
        <f t="shared" si="1"/>
        <v>0</v>
      </c>
      <c r="N29" s="73"/>
      <c r="O29" s="37"/>
      <c r="P29" s="38"/>
      <c r="Q29" s="39"/>
      <c r="R29" s="39"/>
      <c r="S29" s="40"/>
      <c r="T29" s="41">
        <f t="shared" si="2"/>
        <v>0</v>
      </c>
      <c r="U29" s="42"/>
      <c r="V29" s="43"/>
      <c r="W29" s="44"/>
    </row>
    <row r="30" spans="1:23" x14ac:dyDescent="0.25">
      <c r="A30" s="28">
        <v>27</v>
      </c>
      <c r="B30" s="27"/>
      <c r="C30" s="29"/>
      <c r="D30" s="30"/>
      <c r="E30" s="31"/>
      <c r="F30" s="29"/>
      <c r="G30" s="30"/>
      <c r="H30" s="31"/>
      <c r="I30" s="54"/>
      <c r="J30" s="53"/>
      <c r="K30" s="34">
        <f t="shared" si="3"/>
        <v>0</v>
      </c>
      <c r="L30" s="35">
        <f t="shared" si="4"/>
        <v>0</v>
      </c>
      <c r="M30" s="36">
        <f t="shared" si="1"/>
        <v>0</v>
      </c>
      <c r="N30" s="73"/>
      <c r="O30" s="37"/>
      <c r="P30" s="38"/>
      <c r="Q30" s="39"/>
      <c r="R30" s="39"/>
      <c r="S30" s="40"/>
      <c r="T30" s="41">
        <f t="shared" si="2"/>
        <v>0</v>
      </c>
      <c r="U30" s="42"/>
      <c r="V30" s="43"/>
      <c r="W30" s="44"/>
    </row>
    <row r="31" spans="1:23" x14ac:dyDescent="0.25">
      <c r="A31" s="28">
        <v>28</v>
      </c>
      <c r="B31" s="27"/>
      <c r="C31" s="29"/>
      <c r="D31" s="30"/>
      <c r="E31" s="31"/>
      <c r="F31" s="29"/>
      <c r="G31" s="30"/>
      <c r="H31" s="31"/>
      <c r="I31" s="54"/>
      <c r="J31" s="53"/>
      <c r="K31" s="34">
        <f t="shared" si="3"/>
        <v>0</v>
      </c>
      <c r="L31" s="35">
        <f t="shared" si="4"/>
        <v>0</v>
      </c>
      <c r="M31" s="36">
        <f t="shared" si="1"/>
        <v>0</v>
      </c>
      <c r="N31" s="73"/>
      <c r="O31" s="37"/>
      <c r="P31" s="38"/>
      <c r="Q31" s="39"/>
      <c r="R31" s="39"/>
      <c r="S31" s="40"/>
      <c r="T31" s="41">
        <f t="shared" si="2"/>
        <v>0</v>
      </c>
      <c r="U31" s="42"/>
      <c r="V31" s="43"/>
      <c r="W31" s="44"/>
    </row>
    <row r="32" spans="1:23" x14ac:dyDescent="0.25">
      <c r="A32" s="28">
        <v>29</v>
      </c>
      <c r="B32" s="27"/>
      <c r="C32" s="29"/>
      <c r="D32" s="30"/>
      <c r="E32" s="31"/>
      <c r="F32" s="29"/>
      <c r="G32" s="30"/>
      <c r="H32" s="31"/>
      <c r="I32" s="54"/>
      <c r="J32" s="53"/>
      <c r="K32" s="34">
        <f t="shared" si="3"/>
        <v>0</v>
      </c>
      <c r="L32" s="35">
        <f t="shared" si="4"/>
        <v>0</v>
      </c>
      <c r="M32" s="36">
        <f t="shared" si="1"/>
        <v>0</v>
      </c>
      <c r="N32" s="73"/>
      <c r="O32" s="37"/>
      <c r="P32" s="38"/>
      <c r="Q32" s="39"/>
      <c r="R32" s="39"/>
      <c r="S32" s="40"/>
      <c r="T32" s="41">
        <f t="shared" si="2"/>
        <v>0</v>
      </c>
      <c r="U32" s="42"/>
      <c r="V32" s="43"/>
      <c r="W32" s="44"/>
    </row>
    <row r="33" spans="1:23" x14ac:dyDescent="0.25">
      <c r="A33" s="28">
        <v>30</v>
      </c>
      <c r="B33" s="27"/>
      <c r="C33" s="29"/>
      <c r="D33" s="30"/>
      <c r="E33" s="31"/>
      <c r="F33" s="29"/>
      <c r="G33" s="30"/>
      <c r="H33" s="31"/>
      <c r="I33" s="54"/>
      <c r="J33" s="53"/>
      <c r="K33" s="34">
        <f t="shared" si="3"/>
        <v>0</v>
      </c>
      <c r="L33" s="35">
        <f t="shared" si="4"/>
        <v>0</v>
      </c>
      <c r="M33" s="36">
        <f t="shared" si="1"/>
        <v>0</v>
      </c>
      <c r="N33" s="73"/>
      <c r="O33" s="37"/>
      <c r="P33" s="38"/>
      <c r="Q33" s="39"/>
      <c r="R33" s="39"/>
      <c r="S33" s="40"/>
      <c r="T33" s="41">
        <f t="shared" si="2"/>
        <v>0</v>
      </c>
      <c r="U33" s="42"/>
      <c r="V33" s="43"/>
      <c r="W33" s="44"/>
    </row>
    <row r="34" spans="1:23" x14ac:dyDescent="0.25">
      <c r="I34" s="1"/>
      <c r="P34" s="1"/>
    </row>
    <row r="35" spans="1:23" x14ac:dyDescent="0.25">
      <c r="I35" s="1"/>
      <c r="P35" s="1"/>
    </row>
    <row r="36" spans="1:23" x14ac:dyDescent="0.25">
      <c r="I36" s="1"/>
      <c r="P36" s="1"/>
    </row>
    <row r="37" spans="1:23" x14ac:dyDescent="0.25">
      <c r="I37" s="1"/>
      <c r="P37" s="1"/>
    </row>
    <row r="38" spans="1:23" x14ac:dyDescent="0.25">
      <c r="I38" s="1"/>
      <c r="P38" s="1"/>
    </row>
  </sheetData>
  <autoFilter ref="B5:W33" xr:uid="{A2000ECB-8F3C-420E-948D-AAB0639248E4}"/>
  <mergeCells count="8">
    <mergeCell ref="R2:S2"/>
    <mergeCell ref="R3:S3"/>
    <mergeCell ref="P1:S1"/>
    <mergeCell ref="A1:B4"/>
    <mergeCell ref="C4:E4"/>
    <mergeCell ref="F4:H4"/>
    <mergeCell ref="K1:L1"/>
    <mergeCell ref="M1:N1"/>
  </mergeCells>
  <hyperlinks>
    <hyperlink ref="J6" r:id="rId1" xr:uid="{B1271683-6B64-43FE-9757-712E01735D5C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Hort</dc:creator>
  <cp:lastModifiedBy>Docekal</cp:lastModifiedBy>
  <dcterms:created xsi:type="dcterms:W3CDTF">2026-02-12T12:11:19Z</dcterms:created>
  <dcterms:modified xsi:type="dcterms:W3CDTF">2026-02-14T16:27:36Z</dcterms:modified>
</cp:coreProperties>
</file>